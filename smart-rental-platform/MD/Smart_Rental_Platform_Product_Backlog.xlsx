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<sst xmlns="http://schemas.openxmlformats.org/spreadsheetml/2006/main" count="268" uniqueCount="145">
  <si>
    <t xml:space="preserve">ID</t>
  </si>
  <si>
    <t xml:space="preserve">Epic</t>
  </si>
  <si>
    <t xml:space="preserve">User Story</t>
  </si>
  <si>
    <t xml:space="preserve">Acceptance Criteria</t>
  </si>
  <si>
    <t xml:space="preserve">Priority</t>
  </si>
  <si>
    <t xml:space="preserve">Story Points</t>
  </si>
  <si>
    <t xml:space="preserve">Status</t>
  </si>
  <si>
    <t xml:space="preserve">US1.1</t>
  </si>
  <si>
    <t xml:space="preserve">Gestion User</t>
  </si>
  <si>
    <t xml:space="preserve">As a visitor, I want to create an account so that I can use the platform.</t>
  </si>
  <si>
    <t xml:space="preserve">• User can register with email and password
• Required fields are validated
• Password is stored securely (hashed)
• Default role = Guest</t>
  </si>
  <si>
    <t xml:space="preserve">High</t>
  </si>
  <si>
    <t xml:space="preserve">3</t>
  </si>
  <si>
    <t xml:space="preserve">To Do</t>
  </si>
  <si>
    <t xml:space="preserve">US1.2</t>
  </si>
  <si>
    <t xml:space="preserve">As a user, I want to log in and log out so that my account is secure.</t>
  </si>
  <si>
    <t xml:space="preserve">• User can authenticate with credentials
• Session management implemented
• Secure logout functionality
• Session timeout after inactivity</t>
  </si>
  <si>
    <t xml:space="preserve">2</t>
  </si>
  <si>
    <t xml:space="preserve">US1.3</t>
  </si>
  <si>
    <t xml:space="preserve">As a host, I want to request host status so that I can publish logements and tools.</t>
  </si>
  <si>
    <t xml:space="preserve">• Host request form available
• Admin receives notification
• Approval workflow implemented
• User role updated upon approval</t>
  </si>
  <si>
    <t xml:space="preserve">Medium</t>
  </si>
  <si>
    <t xml:space="preserve">5</t>
  </si>
  <si>
    <t xml:space="preserve">US1.4</t>
  </si>
  <si>
    <t xml:space="preserve">As an admin, I want to monitor suspicious user activity so that I can detect scammers.</t>
  </si>
  <si>
    <t xml:space="preserve">• System logs abnormal actions
• Admin can view flagged users
• Flagged users are marked with warning status
• Activity log includes timestamps and details</t>
  </si>
  <si>
    <t xml:space="preserve">8</t>
  </si>
  <si>
    <t xml:space="preserve">US1.5</t>
  </si>
  <si>
    <t xml:space="preserve">As an admin, I want to suspend or ban abusive users so that the platform remains safe.</t>
  </si>
  <si>
    <t xml:space="preserve">• Admin can suspend or ban users
• Suspended users cannot reserve or publish
• Banned users cannot log in
• All actions are logged</t>
  </si>
  <si>
    <t xml:space="preserve">US1.6</t>
  </si>
  <si>
    <t xml:space="preserve">As an admin, I want to manage user roles and account status so that I can control access.</t>
  </si>
  <si>
    <t xml:space="preserve">• Admin can view all users
• Admin can modify user roles
• Admin can activate/deactivate accounts
• Changes are logged and auditable</t>
  </si>
  <si>
    <t xml:space="preserve">US2.1</t>
  </si>
  <si>
    <t xml:space="preserve">Gestion Foyer</t>
  </si>
  <si>
    <t xml:space="preserve">As a host, I want to add a logement with category, price, and location so that guests can book it.</t>
  </si>
  <si>
    <t xml:space="preserve">• Required fields: title, price, location, category
• Images added via URL
• Logement visible to guests
• Validation for all required fields</t>
  </si>
  <si>
    <t xml:space="preserve">US2.2</t>
  </si>
  <si>
    <t xml:space="preserve">As a host, I want to edit or delete my logement so that I can keep my listings updated.</t>
  </si>
  <si>
    <t xml:space="preserve">• Host can edit all logement details
• Host can delete listings
• Soft delete with confirmation
• Changes reflect immediately</t>
  </si>
  <si>
    <t xml:space="preserve">US2.3</t>
  </si>
  <si>
    <t xml:space="preserve">As a guest, I want to view logement details so that I can decide before reserving.</t>
  </si>
  <si>
    <t xml:space="preserve">• Detailed view page with all information
• Images gallery
• Location map
• Availability calendar</t>
  </si>
  <si>
    <t xml:space="preserve">US2.4</t>
  </si>
  <si>
    <t xml:space="preserve">As a guest, I want to filter logements by category, price, and location so that I can find what I need.</t>
  </si>
  <si>
    <t xml:space="preserve">• Filter by category
• Filter by price range
• Filter by location
• Multiple filters can be combined</t>
  </si>
  <si>
    <t xml:space="preserve">US2.6</t>
  </si>
  <si>
    <t xml:space="preserve">As an admin, I want to review reported or problematic listings so that I can moderate only when necessary.</t>
  </si>
  <si>
    <t xml:space="preserve">• Guests can report listings
• Admin dashboard shows reported listings
• Admin can hide, warn, or delete
• Actions are logged</t>
  </si>
  <si>
    <t xml:space="preserve">US3.1</t>
  </si>
  <si>
    <t xml:space="preserve">Gestion Matériel</t>
  </si>
  <si>
    <t xml:space="preserve">As a host, I want to add tools for rent so that guests can rent local equipment.</t>
  </si>
  <si>
    <t xml:space="preserve">• Host adds tool with name, category, price
• Tool availability status
• Tool visible in search
• Image upload capability</t>
  </si>
  <si>
    <t xml:space="preserve">US3.2</t>
  </si>
  <si>
    <t xml:space="preserve">As a host, I want to define tool rental periods and pricing so that guests can rent tools independently.</t>
  </si>
  <si>
    <t xml:space="preserve">• Define hourly/daily/weekly rates
• Set minimum/maximum rental periods
• Availability calendar management
• Pricing rules validation</t>
  </si>
  <si>
    <t xml:space="preserve">US3.3</t>
  </si>
  <si>
    <t xml:space="preserve">As a guest, I want to browse available tools so that I can rent what I need.</t>
  </si>
  <si>
    <t xml:space="preserve">• Tool catalog with search
• Filter by category and price
• Display availability status
• Show tool details and ratings</t>
  </si>
  <si>
    <t xml:space="preserve">US3.4</t>
  </si>
  <si>
    <t xml:space="preserve">As a guest, I want to reserve a tool for specific dates so that I can use it when needed.</t>
  </si>
  <si>
    <t xml:space="preserve">• Guest selects rental dates
• System checks availability
• Prevent overlapping reservations
• Reservation stored with confirmed status</t>
  </si>
  <si>
    <t xml:space="preserve">US3.5</t>
  </si>
  <si>
    <t xml:space="preserve">As the system, I want to apply tool category rules and validation so that tools are classified automatically.</t>
  </si>
  <si>
    <t xml:space="preserve">• Automatic category suggestion
• Validation rules for tool data
• Category hierarchy support
• Data integrity checks</t>
  </si>
  <si>
    <t xml:space="preserve">Low</t>
  </si>
  <si>
    <t xml:space="preserve">US3.6</t>
  </si>
  <si>
    <t xml:space="preserve">As a guest, I want to rent tools without booking a logement so that I can access local equipment easily.</t>
  </si>
  <si>
    <t xml:space="preserve">• Standalone tool rental flow
• Independent from logement booking
• Separate checkout process
• Tool-only reservation management</t>
  </si>
  <si>
    <t xml:space="preserve">US3.7</t>
  </si>
  <si>
    <t xml:space="preserve">As an admin, I want to review tools that are reported or flagged so that I only intervene in suspicious cases.</t>
  </si>
  <si>
    <t xml:space="preserve">• Flagging system for tools
• Admin moderation dashboard
• Review and action workflow
• Communication with tool owner</t>
  </si>
  <si>
    <t xml:space="preserve">US4.1</t>
  </si>
  <si>
    <t xml:space="preserve">Gestion Services</t>
  </si>
  <si>
    <t xml:space="preserve">As a host, I want to define available services so that guests can request them.</t>
  </si>
  <si>
    <t xml:space="preserve">• Create service catalog
• Define service pricing
• Set service availability
• Service descriptions and terms</t>
  </si>
  <si>
    <t xml:space="preserve">US4.2</t>
  </si>
  <si>
    <t xml:space="preserve">As a guest, I want to request a service so that my stay is more comfortable.</t>
  </si>
  <si>
    <t xml:space="preserve">• Browse available services
• Request service with details
• Specify date/time preferences
• Track request status</t>
  </si>
  <si>
    <t xml:space="preserve">US4.3</t>
  </si>
  <si>
    <t xml:space="preserve">As a host, I want to manage service requests so that I can accept or reject them.</t>
  </si>
  <si>
    <t xml:space="preserve">• View all service requests
• Accept or reject with reason
• Notification to guest
• Request history tracking</t>
  </si>
  <si>
    <t xml:space="preserve">US4.4</t>
  </si>
  <si>
    <t xml:space="preserve">As an admin, I want to review reported services so that I can moderate only when necessary.</t>
  </si>
  <si>
    <t xml:space="preserve">• Service reporting system
• Admin review interface
• Moderation actions
• Communication workflow</t>
  </si>
  <si>
    <t xml:space="preserve">US5.1</t>
  </si>
  <si>
    <t xml:space="preserve">Gestion Réservation</t>
  </si>
  <si>
    <t xml:space="preserve">As a guest, I want to reserve a logement for specific dates so that I can plan my stay.</t>
  </si>
  <si>
    <t xml:space="preserve">• Select start/end dates
• Check availability
• Prevent double booking
• Calculate total price
• Status = Confirmed</t>
  </si>
  <si>
    <t xml:space="preserve">Critical</t>
  </si>
  <si>
    <t xml:space="preserve">US5.2</t>
  </si>
  <si>
    <t xml:space="preserve">As a guest, I want to cancel a reservation within allowed rules (e.g. at least 7 days before).</t>
  </si>
  <si>
    <t xml:space="preserve">• System checks cancellation deadline
• Allow or refuse based on policy
• Update reservation status
• Notify host
• Refund processing</t>
  </si>
  <si>
    <t xml:space="preserve">US5.3</t>
  </si>
  <si>
    <t xml:space="preserve">As a host, I want to see all reservations for my logements so that I can manage availability.</t>
  </si>
  <si>
    <t xml:space="preserve">• Dashboard with all reservations
• Filter by property and status
• Calendar view
• Export functionality</t>
  </si>
  <si>
    <t xml:space="preserve">US5.4</t>
  </si>
  <si>
    <t xml:space="preserve">As the system, I want to prevent double booking so that two users cannot reserve the same resource.</t>
  </si>
  <si>
    <t xml:space="preserve">• Real-time availability checking
• Lock mechanism during booking
• Conflict detection
• Automatic conflict resolution</t>
  </si>
  <si>
    <t xml:space="preserve">US5.5</t>
  </si>
  <si>
    <t xml:space="preserve">As the system, I want to enforce cancellation policies so that hosts are protected.</t>
  </si>
  <si>
    <t xml:space="preserve">• Policy rules engine
• Automatic policy application
• Refund calculation logic
• Policy documentation display</t>
  </si>
  <si>
    <t xml:space="preserve">US6.1</t>
  </si>
  <si>
    <t xml:space="preserve">Gestion Avis</t>
  </si>
  <si>
    <t xml:space="preserve">As a guest, I want to leave a review and rating so that I can share my experience.</t>
  </si>
  <si>
    <t xml:space="preserve">• Only after completed reservation
• Rating 1 to 5
• Comment required
• Review visible after submission</t>
  </si>
  <si>
    <t xml:space="preserve">US6.2</t>
  </si>
  <si>
    <t xml:space="preserve">As a guest, I want to see other users' reviews so that I can make better decisions.</t>
  </si>
  <si>
    <t xml:space="preserve">• Display all reviews for listing
• Show average rating
• Sort by date or rating
• Pagination for many reviews</t>
  </si>
  <si>
    <t xml:space="preserve">US6.3</t>
  </si>
  <si>
    <t xml:space="preserve">As a host, I want to view feedback so that I can improve my services.</t>
  </si>
  <si>
    <t xml:space="preserve">• View all reviews received
• Response capability
• Rating analytics
• Trend analysis over time</t>
  </si>
  <si>
    <t xml:space="preserve">US7.1</t>
  </si>
  <si>
    <t xml:space="preserve">Assistance Intelligente</t>
  </si>
  <si>
    <t xml:space="preserve">As a guest, I want to receive recommended logements based on my budget and preferences.</t>
  </si>
  <si>
    <t xml:space="preserve">• Suggest based on budget and category
• At least 3 recommendations
• Logic documented
• Personalization based on history</t>
  </si>
  <si>
    <t xml:space="preserve">13</t>
  </si>
  <si>
    <t xml:space="preserve">US7.2</t>
  </si>
  <si>
    <t xml:space="preserve">As a guest, I want to receive recommended tools based on my needs.</t>
  </si>
  <si>
    <t xml:space="preserve">• Tool recommendation engine
• Based on booking location and type
• Relevant suggestions
• Explanation for recommendations</t>
  </si>
  <si>
    <t xml:space="preserve">US7.3</t>
  </si>
  <si>
    <t xml:space="preserve">As a guest, I want to receive suggested services based on my stay.</t>
  </si>
  <si>
    <t xml:space="preserve">• Service suggestions based on logement
• Contextual recommendations
• Popular services highlighted
• Smart bundling options</t>
  </si>
  <si>
    <t xml:space="preserve">US7.4</t>
  </si>
  <si>
    <t xml:space="preserve">As a host, I want to see an automatic summary of reviews.</t>
  </si>
  <si>
    <t xml:space="preserve">• Analyze multiple reviews
• Generate positive/negative summary
• Update with new reviews
• Key themes extraction</t>
  </si>
  <si>
    <t xml:space="preserve">US7.5</t>
  </si>
  <si>
    <t xml:space="preserve">As an admin, I want the system to flag potentially fraudulent behavior using automated rules.</t>
  </si>
  <si>
    <t xml:space="preserve">• Apply fraud rules
• Flag risky users
• Show in admin dashboard
• Log flag reasons
• ML-based pattern detection</t>
  </si>
  <si>
    <t xml:space="preserve">Project Summary</t>
  </si>
  <si>
    <t xml:space="preserve">Total User Stories:</t>
  </si>
  <si>
    <t xml:space="preserve">Total Story Points:</t>
  </si>
  <si>
    <t xml:space="preserve">Epics Overview:</t>
  </si>
  <si>
    <t xml:space="preserve">Gestion User:</t>
  </si>
  <si>
    <t xml:space="preserve">Gestion Foyer:</t>
  </si>
  <si>
    <t xml:space="preserve">Gestion Matériel:</t>
  </si>
  <si>
    <t xml:space="preserve">Gestion Services:</t>
  </si>
  <si>
    <t xml:space="preserve">Gestion Réservation:</t>
  </si>
  <si>
    <t xml:space="preserve">Gestion Avis:</t>
  </si>
  <si>
    <t xml:space="preserve">Assistance Intelligente:</t>
  </si>
  <si>
    <t xml:space="preserve">Priority Breakdown:</t>
  </si>
  <si>
    <t xml:space="preserve">Critical:</t>
  </si>
  <si>
    <t xml:space="preserve">High:</t>
  </si>
  <si>
    <t xml:space="preserve">Medium:</t>
  </si>
  <si>
    <t xml:space="preserve">Low: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</si>
</sst>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6" min="5" style="0" width="12"/>
    <col collapsed="false" customWidth="true" hidden="false" outlineLevel="0" max="7" min="7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60" hidden="false" customHeight="true" outlineLevel="0" collapsed="false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2" t="s">
        <v>12</v>
      </c>
      <c r="G2" s="2" t="s">
        <v>13</v>
      </c>
    </row>
    <row r="3" customFormat="false" ht="60" hidden="false" customHeight="true" outlineLevel="0" collapsed="false">
      <c r="A3" s="2" t="s">
        <v>14</v>
      </c>
      <c r="B3" s="3" t="s">
        <v>8</v>
      </c>
      <c r="C3" s="4" t="s">
        <v>15</v>
      </c>
      <c r="D3" s="4" t="s">
        <v>16</v>
      </c>
      <c r="E3" s="5" t="s">
        <v>11</v>
      </c>
      <c r="F3" s="2" t="s">
        <v>17</v>
      </c>
      <c r="G3" s="2" t="s">
        <v>13</v>
      </c>
    </row>
    <row r="4" customFormat="false" ht="60" hidden="false" customHeight="true" outlineLevel="0" collapsed="false">
      <c r="A4" s="2" t="s">
        <v>18</v>
      </c>
      <c r="B4" s="3" t="s">
        <v>8</v>
      </c>
      <c r="C4" s="4" t="s">
        <v>19</v>
      </c>
      <c r="D4" s="4" t="s">
        <v>20</v>
      </c>
      <c r="E4" s="6" t="s">
        <v>21</v>
      </c>
      <c r="F4" s="2" t="s">
        <v>22</v>
      </c>
      <c r="G4" s="2" t="s">
        <v>13</v>
      </c>
    </row>
    <row r="5" customFormat="false" ht="60" hidden="false" customHeight="true" outlineLevel="0" collapsed="false">
      <c r="A5" s="2" t="s">
        <v>23</v>
      </c>
      <c r="B5" s="3" t="s">
        <v>8</v>
      </c>
      <c r="C5" s="4" t="s">
        <v>24</v>
      </c>
      <c r="D5" s="4" t="s">
        <v>25</v>
      </c>
      <c r="E5" s="5" t="s">
        <v>11</v>
      </c>
      <c r="F5" s="2" t="s">
        <v>26</v>
      </c>
      <c r="G5" s="2" t="s">
        <v>13</v>
      </c>
    </row>
    <row r="6" customFormat="false" ht="60" hidden="false" customHeight="true" outlineLevel="0" collapsed="false">
      <c r="A6" s="2" t="s">
        <v>27</v>
      </c>
      <c r="B6" s="3" t="s">
        <v>8</v>
      </c>
      <c r="C6" s="4" t="s">
        <v>28</v>
      </c>
      <c r="D6" s="4" t="s">
        <v>29</v>
      </c>
      <c r="E6" s="5" t="s">
        <v>11</v>
      </c>
      <c r="F6" s="2" t="s">
        <v>22</v>
      </c>
      <c r="G6" s="2" t="s">
        <v>13</v>
      </c>
    </row>
    <row r="7" customFormat="false" ht="60" hidden="false" customHeight="true" outlineLevel="0" collapsed="false">
      <c r="A7" s="2" t="s">
        <v>30</v>
      </c>
      <c r="B7" s="3" t="s">
        <v>8</v>
      </c>
      <c r="C7" s="4" t="s">
        <v>31</v>
      </c>
      <c r="D7" s="4" t="s">
        <v>32</v>
      </c>
      <c r="E7" s="6" t="s">
        <v>21</v>
      </c>
      <c r="F7" s="2" t="s">
        <v>12</v>
      </c>
      <c r="G7" s="2" t="s">
        <v>13</v>
      </c>
    </row>
    <row r="8" customFormat="false" ht="60" hidden="false" customHeight="true" outlineLevel="0" collapsed="false">
      <c r="A8" s="2" t="s">
        <v>33</v>
      </c>
      <c r="B8" s="3" t="s">
        <v>34</v>
      </c>
      <c r="C8" s="4" t="s">
        <v>35</v>
      </c>
      <c r="D8" s="4" t="s">
        <v>36</v>
      </c>
      <c r="E8" s="5" t="s">
        <v>11</v>
      </c>
      <c r="F8" s="2" t="s">
        <v>26</v>
      </c>
      <c r="G8" s="2" t="s">
        <v>13</v>
      </c>
    </row>
    <row r="9" customFormat="false" ht="60" hidden="false" customHeight="true" outlineLevel="0" collapsed="false">
      <c r="A9" s="2" t="s">
        <v>37</v>
      </c>
      <c r="B9" s="3" t="s">
        <v>34</v>
      </c>
      <c r="C9" s="4" t="s">
        <v>38</v>
      </c>
      <c r="D9" s="4" t="s">
        <v>39</v>
      </c>
      <c r="E9" s="5" t="s">
        <v>11</v>
      </c>
      <c r="F9" s="2" t="s">
        <v>22</v>
      </c>
      <c r="G9" s="2" t="s">
        <v>13</v>
      </c>
    </row>
    <row r="10" customFormat="false" ht="60" hidden="false" customHeight="true" outlineLevel="0" collapsed="false">
      <c r="A10" s="2" t="s">
        <v>40</v>
      </c>
      <c r="B10" s="3" t="s">
        <v>34</v>
      </c>
      <c r="C10" s="4" t="s">
        <v>41</v>
      </c>
      <c r="D10" s="4" t="s">
        <v>42</v>
      </c>
      <c r="E10" s="5" t="s">
        <v>11</v>
      </c>
      <c r="F10" s="2" t="s">
        <v>22</v>
      </c>
      <c r="G10" s="2" t="s">
        <v>13</v>
      </c>
    </row>
    <row r="11" customFormat="false" ht="60" hidden="false" customHeight="true" outlineLevel="0" collapsed="false">
      <c r="A11" s="2" t="s">
        <v>43</v>
      </c>
      <c r="B11" s="3" t="s">
        <v>34</v>
      </c>
      <c r="C11" s="4" t="s">
        <v>44</v>
      </c>
      <c r="D11" s="4" t="s">
        <v>45</v>
      </c>
      <c r="E11" s="5" t="s">
        <v>11</v>
      </c>
      <c r="F11" s="2" t="s">
        <v>26</v>
      </c>
      <c r="G11" s="2" t="s">
        <v>13</v>
      </c>
    </row>
    <row r="12" customFormat="false" ht="60" hidden="false" customHeight="true" outlineLevel="0" collapsed="false">
      <c r="A12" s="2" t="s">
        <v>46</v>
      </c>
      <c r="B12" s="3" t="s">
        <v>34</v>
      </c>
      <c r="C12" s="4" t="s">
        <v>47</v>
      </c>
      <c r="D12" s="4" t="s">
        <v>48</v>
      </c>
      <c r="E12" s="6" t="s">
        <v>21</v>
      </c>
      <c r="F12" s="2" t="s">
        <v>22</v>
      </c>
      <c r="G12" s="2" t="s">
        <v>13</v>
      </c>
    </row>
    <row r="13" customFormat="false" ht="60" hidden="false" customHeight="true" outlineLevel="0" collapsed="false">
      <c r="A13" s="2" t="s">
        <v>49</v>
      </c>
      <c r="B13" s="3" t="s">
        <v>50</v>
      </c>
      <c r="C13" s="4" t="s">
        <v>51</v>
      </c>
      <c r="D13" s="4" t="s">
        <v>52</v>
      </c>
      <c r="E13" s="6" t="s">
        <v>21</v>
      </c>
      <c r="F13" s="2" t="s">
        <v>22</v>
      </c>
      <c r="G13" s="2" t="s">
        <v>13</v>
      </c>
    </row>
    <row r="14" customFormat="false" ht="60" hidden="false" customHeight="true" outlineLevel="0" collapsed="false">
      <c r="A14" s="2" t="s">
        <v>53</v>
      </c>
      <c r="B14" s="3" t="s">
        <v>50</v>
      </c>
      <c r="C14" s="4" t="s">
        <v>54</v>
      </c>
      <c r="D14" s="4" t="s">
        <v>55</v>
      </c>
      <c r="E14" s="6" t="s">
        <v>21</v>
      </c>
      <c r="F14" s="2" t="s">
        <v>22</v>
      </c>
      <c r="G14" s="2" t="s">
        <v>13</v>
      </c>
    </row>
    <row r="15" customFormat="false" ht="60" hidden="false" customHeight="true" outlineLevel="0" collapsed="false">
      <c r="A15" s="2" t="s">
        <v>56</v>
      </c>
      <c r="B15" s="3" t="s">
        <v>50</v>
      </c>
      <c r="C15" s="4" t="s">
        <v>57</v>
      </c>
      <c r="D15" s="4" t="s">
        <v>58</v>
      </c>
      <c r="E15" s="6" t="s">
        <v>21</v>
      </c>
      <c r="F15" s="2" t="s">
        <v>22</v>
      </c>
      <c r="G15" s="2" t="s">
        <v>13</v>
      </c>
    </row>
    <row r="16" customFormat="false" ht="60" hidden="false" customHeight="true" outlineLevel="0" collapsed="false">
      <c r="A16" s="2" t="s">
        <v>59</v>
      </c>
      <c r="B16" s="3" t="s">
        <v>50</v>
      </c>
      <c r="C16" s="4" t="s">
        <v>60</v>
      </c>
      <c r="D16" s="4" t="s">
        <v>61</v>
      </c>
      <c r="E16" s="5" t="s">
        <v>11</v>
      </c>
      <c r="F16" s="2" t="s">
        <v>26</v>
      </c>
      <c r="G16" s="2" t="s">
        <v>13</v>
      </c>
    </row>
    <row r="17" customFormat="false" ht="60" hidden="false" customHeight="true" outlineLevel="0" collapsed="false">
      <c r="A17" s="2" t="s">
        <v>62</v>
      </c>
      <c r="B17" s="3" t="s">
        <v>50</v>
      </c>
      <c r="C17" s="4" t="s">
        <v>63</v>
      </c>
      <c r="D17" s="4" t="s">
        <v>64</v>
      </c>
      <c r="E17" s="7" t="s">
        <v>65</v>
      </c>
      <c r="F17" s="2" t="s">
        <v>12</v>
      </c>
      <c r="G17" s="2" t="s">
        <v>13</v>
      </c>
    </row>
    <row r="18" customFormat="false" ht="60" hidden="false" customHeight="true" outlineLevel="0" collapsed="false">
      <c r="A18" s="2" t="s">
        <v>66</v>
      </c>
      <c r="B18" s="3" t="s">
        <v>50</v>
      </c>
      <c r="C18" s="4" t="s">
        <v>67</v>
      </c>
      <c r="D18" s="4" t="s">
        <v>68</v>
      </c>
      <c r="E18" s="6" t="s">
        <v>21</v>
      </c>
      <c r="F18" s="2" t="s">
        <v>22</v>
      </c>
      <c r="G18" s="2" t="s">
        <v>13</v>
      </c>
    </row>
    <row r="19" customFormat="false" ht="60" hidden="false" customHeight="true" outlineLevel="0" collapsed="false">
      <c r="A19" s="2" t="s">
        <v>69</v>
      </c>
      <c r="B19" s="3" t="s">
        <v>50</v>
      </c>
      <c r="C19" s="4" t="s">
        <v>70</v>
      </c>
      <c r="D19" s="4" t="s">
        <v>71</v>
      </c>
      <c r="E19" s="6" t="s">
        <v>21</v>
      </c>
      <c r="F19" s="2" t="s">
        <v>12</v>
      </c>
      <c r="G19" s="2" t="s">
        <v>13</v>
      </c>
    </row>
    <row r="20" customFormat="false" ht="60" hidden="false" customHeight="true" outlineLevel="0" collapsed="false">
      <c r="A20" s="2" t="s">
        <v>72</v>
      </c>
      <c r="B20" s="3" t="s">
        <v>73</v>
      </c>
      <c r="C20" s="4" t="s">
        <v>74</v>
      </c>
      <c r="D20" s="4" t="s">
        <v>75</v>
      </c>
      <c r="E20" s="6" t="s">
        <v>21</v>
      </c>
      <c r="F20" s="2" t="s">
        <v>22</v>
      </c>
      <c r="G20" s="2" t="s">
        <v>13</v>
      </c>
    </row>
    <row r="21" customFormat="false" ht="60" hidden="false" customHeight="true" outlineLevel="0" collapsed="false">
      <c r="A21" s="2" t="s">
        <v>76</v>
      </c>
      <c r="B21" s="3" t="s">
        <v>73</v>
      </c>
      <c r="C21" s="4" t="s">
        <v>77</v>
      </c>
      <c r="D21" s="4" t="s">
        <v>78</v>
      </c>
      <c r="E21" s="6" t="s">
        <v>21</v>
      </c>
      <c r="F21" s="2" t="s">
        <v>12</v>
      </c>
      <c r="G21" s="2" t="s">
        <v>13</v>
      </c>
    </row>
    <row r="22" customFormat="false" ht="60" hidden="false" customHeight="true" outlineLevel="0" collapsed="false">
      <c r="A22" s="2" t="s">
        <v>79</v>
      </c>
      <c r="B22" s="3" t="s">
        <v>73</v>
      </c>
      <c r="C22" s="4" t="s">
        <v>80</v>
      </c>
      <c r="D22" s="4" t="s">
        <v>81</v>
      </c>
      <c r="E22" s="6" t="s">
        <v>21</v>
      </c>
      <c r="F22" s="2" t="s">
        <v>22</v>
      </c>
      <c r="G22" s="2" t="s">
        <v>13</v>
      </c>
    </row>
    <row r="23" customFormat="false" ht="60" hidden="false" customHeight="true" outlineLevel="0" collapsed="false">
      <c r="A23" s="2" t="s">
        <v>82</v>
      </c>
      <c r="B23" s="3" t="s">
        <v>73</v>
      </c>
      <c r="C23" s="4" t="s">
        <v>83</v>
      </c>
      <c r="D23" s="4" t="s">
        <v>84</v>
      </c>
      <c r="E23" s="7" t="s">
        <v>65</v>
      </c>
      <c r="F23" s="2" t="s">
        <v>12</v>
      </c>
      <c r="G23" s="2" t="s">
        <v>13</v>
      </c>
    </row>
    <row r="24" customFormat="false" ht="60" hidden="false" customHeight="true" outlineLevel="0" collapsed="false">
      <c r="A24" s="2" t="s">
        <v>85</v>
      </c>
      <c r="B24" s="3" t="s">
        <v>86</v>
      </c>
      <c r="C24" s="4" t="s">
        <v>87</v>
      </c>
      <c r="D24" s="4" t="s">
        <v>88</v>
      </c>
      <c r="E24" s="8" t="s">
        <v>89</v>
      </c>
      <c r="F24" s="2" t="s">
        <v>26</v>
      </c>
      <c r="G24" s="2" t="s">
        <v>13</v>
      </c>
    </row>
    <row r="25" customFormat="false" ht="60" hidden="false" customHeight="true" outlineLevel="0" collapsed="false">
      <c r="A25" s="2" t="s">
        <v>90</v>
      </c>
      <c r="B25" s="3" t="s">
        <v>86</v>
      </c>
      <c r="C25" s="4" t="s">
        <v>91</v>
      </c>
      <c r="D25" s="4" t="s">
        <v>92</v>
      </c>
      <c r="E25" s="5" t="s">
        <v>11</v>
      </c>
      <c r="F25" s="2" t="s">
        <v>22</v>
      </c>
      <c r="G25" s="2" t="s">
        <v>13</v>
      </c>
    </row>
    <row r="26" customFormat="false" ht="60" hidden="false" customHeight="true" outlineLevel="0" collapsed="false">
      <c r="A26" s="2" t="s">
        <v>93</v>
      </c>
      <c r="B26" s="3" t="s">
        <v>86</v>
      </c>
      <c r="C26" s="4" t="s">
        <v>94</v>
      </c>
      <c r="D26" s="4" t="s">
        <v>95</v>
      </c>
      <c r="E26" s="5" t="s">
        <v>11</v>
      </c>
      <c r="F26" s="2" t="s">
        <v>22</v>
      </c>
      <c r="G26" s="2" t="s">
        <v>13</v>
      </c>
    </row>
    <row r="27" customFormat="false" ht="60" hidden="false" customHeight="true" outlineLevel="0" collapsed="false">
      <c r="A27" s="2" t="s">
        <v>96</v>
      </c>
      <c r="B27" s="3" t="s">
        <v>86</v>
      </c>
      <c r="C27" s="4" t="s">
        <v>97</v>
      </c>
      <c r="D27" s="4" t="s">
        <v>98</v>
      </c>
      <c r="E27" s="8" t="s">
        <v>89</v>
      </c>
      <c r="F27" s="2" t="s">
        <v>26</v>
      </c>
      <c r="G27" s="2" t="s">
        <v>13</v>
      </c>
    </row>
    <row r="28" customFormat="false" ht="60" hidden="false" customHeight="true" outlineLevel="0" collapsed="false">
      <c r="A28" s="2" t="s">
        <v>99</v>
      </c>
      <c r="B28" s="3" t="s">
        <v>86</v>
      </c>
      <c r="C28" s="4" t="s">
        <v>100</v>
      </c>
      <c r="D28" s="4" t="s">
        <v>101</v>
      </c>
      <c r="E28" s="5" t="s">
        <v>11</v>
      </c>
      <c r="F28" s="2" t="s">
        <v>22</v>
      </c>
      <c r="G28" s="2" t="s">
        <v>13</v>
      </c>
    </row>
    <row r="29" customFormat="false" ht="60" hidden="false" customHeight="true" outlineLevel="0" collapsed="false">
      <c r="A29" s="2" t="s">
        <v>102</v>
      </c>
      <c r="B29" s="3" t="s">
        <v>103</v>
      </c>
      <c r="C29" s="4" t="s">
        <v>104</v>
      </c>
      <c r="D29" s="4" t="s">
        <v>105</v>
      </c>
      <c r="E29" s="5" t="s">
        <v>11</v>
      </c>
      <c r="F29" s="2" t="s">
        <v>22</v>
      </c>
      <c r="G29" s="2" t="s">
        <v>13</v>
      </c>
    </row>
    <row r="30" customFormat="false" ht="60" hidden="false" customHeight="true" outlineLevel="0" collapsed="false">
      <c r="A30" s="2" t="s">
        <v>106</v>
      </c>
      <c r="B30" s="3" t="s">
        <v>103</v>
      </c>
      <c r="C30" s="4" t="s">
        <v>107</v>
      </c>
      <c r="D30" s="4" t="s">
        <v>108</v>
      </c>
      <c r="E30" s="5" t="s">
        <v>11</v>
      </c>
      <c r="F30" s="2" t="s">
        <v>12</v>
      </c>
      <c r="G30" s="2" t="s">
        <v>13</v>
      </c>
    </row>
    <row r="31" customFormat="false" ht="60" hidden="false" customHeight="true" outlineLevel="0" collapsed="false">
      <c r="A31" s="2" t="s">
        <v>109</v>
      </c>
      <c r="B31" s="3" t="s">
        <v>103</v>
      </c>
      <c r="C31" s="4" t="s">
        <v>110</v>
      </c>
      <c r="D31" s="4" t="s">
        <v>111</v>
      </c>
      <c r="E31" s="6" t="s">
        <v>21</v>
      </c>
      <c r="F31" s="2" t="s">
        <v>12</v>
      </c>
      <c r="G31" s="2" t="s">
        <v>13</v>
      </c>
    </row>
    <row r="32" customFormat="false" ht="60" hidden="false" customHeight="true" outlineLevel="0" collapsed="false">
      <c r="A32" s="2" t="s">
        <v>112</v>
      </c>
      <c r="B32" s="3" t="s">
        <v>113</v>
      </c>
      <c r="C32" s="4" t="s">
        <v>114</v>
      </c>
      <c r="D32" s="4" t="s">
        <v>115</v>
      </c>
      <c r="E32" s="6" t="s">
        <v>21</v>
      </c>
      <c r="F32" s="2" t="s">
        <v>116</v>
      </c>
      <c r="G32" s="2" t="s">
        <v>13</v>
      </c>
    </row>
    <row r="33" customFormat="false" ht="60" hidden="false" customHeight="true" outlineLevel="0" collapsed="false">
      <c r="A33" s="2" t="s">
        <v>117</v>
      </c>
      <c r="B33" s="3" t="s">
        <v>113</v>
      </c>
      <c r="C33" s="4" t="s">
        <v>118</v>
      </c>
      <c r="D33" s="4" t="s">
        <v>119</v>
      </c>
      <c r="E33" s="7" t="s">
        <v>65</v>
      </c>
      <c r="F33" s="2" t="s">
        <v>26</v>
      </c>
      <c r="G33" s="2" t="s">
        <v>13</v>
      </c>
    </row>
    <row r="34" customFormat="false" ht="60" hidden="false" customHeight="true" outlineLevel="0" collapsed="false">
      <c r="A34" s="2" t="s">
        <v>120</v>
      </c>
      <c r="B34" s="3" t="s">
        <v>113</v>
      </c>
      <c r="C34" s="4" t="s">
        <v>121</v>
      </c>
      <c r="D34" s="4" t="s">
        <v>122</v>
      </c>
      <c r="E34" s="7" t="s">
        <v>65</v>
      </c>
      <c r="F34" s="2" t="s">
        <v>26</v>
      </c>
      <c r="G34" s="2" t="s">
        <v>13</v>
      </c>
    </row>
    <row r="35" customFormat="false" ht="60" hidden="false" customHeight="true" outlineLevel="0" collapsed="false">
      <c r="A35" s="2" t="s">
        <v>123</v>
      </c>
      <c r="B35" s="3" t="s">
        <v>113</v>
      </c>
      <c r="C35" s="4" t="s">
        <v>124</v>
      </c>
      <c r="D35" s="4" t="s">
        <v>125</v>
      </c>
      <c r="E35" s="7" t="s">
        <v>65</v>
      </c>
      <c r="F35" s="2" t="s">
        <v>116</v>
      </c>
      <c r="G35" s="2" t="s">
        <v>13</v>
      </c>
    </row>
    <row r="36" customFormat="false" ht="60" hidden="false" customHeight="true" outlineLevel="0" collapsed="false">
      <c r="A36" s="2" t="s">
        <v>126</v>
      </c>
      <c r="B36" s="3" t="s">
        <v>113</v>
      </c>
      <c r="C36" s="4" t="s">
        <v>127</v>
      </c>
      <c r="D36" s="4" t="s">
        <v>128</v>
      </c>
      <c r="E36" s="6" t="s">
        <v>21</v>
      </c>
      <c r="F36" s="2" t="s">
        <v>116</v>
      </c>
      <c r="G3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9" t="s">
        <v>129</v>
      </c>
    </row>
    <row r="2" customFormat="false" ht="15" hidden="false" customHeight="false" outlineLevel="0" collapsed="false">
      <c r="A2" s="0" t="s">
        <v>130</v>
      </c>
      <c r="B2" s="0" t="n">
        <f aca="false">COUNTA('Product Backlog'!A2:A1000)</f>
        <v>35</v>
      </c>
    </row>
    <row r="3" customFormat="false" ht="15" hidden="false" customHeight="false" outlineLevel="0" collapsed="false">
      <c r="A3" s="0" t="s">
        <v>131</v>
      </c>
      <c r="B3" s="0" t="n">
        <f aca="false">SUM('Product Backlog'!F2:F1000)</f>
        <v>0</v>
      </c>
    </row>
    <row r="5" customFormat="false" ht="15" hidden="false" customHeight="false" outlineLevel="0" collapsed="false">
      <c r="A5" s="0" t="s">
        <v>132</v>
      </c>
    </row>
    <row r="6" customFormat="false" ht="15" hidden="false" customHeight="false" outlineLevel="0" collapsed="false">
      <c r="A6" s="0" t="s">
        <v>133</v>
      </c>
      <c r="B6" s="0" t="n">
        <f aca="false">COUNTIF('Product Backlog'!B:B,"Gestion User")</f>
        <v>6</v>
      </c>
    </row>
    <row r="7" customFormat="false" ht="15" hidden="false" customHeight="false" outlineLevel="0" collapsed="false">
      <c r="A7" s="0" t="s">
        <v>134</v>
      </c>
      <c r="B7" s="0" t="n">
        <f aca="false">COUNTIF('Product Backlog'!B:B,"Gestion Foyer")</f>
        <v>5</v>
      </c>
    </row>
    <row r="8" customFormat="false" ht="15" hidden="false" customHeight="false" outlineLevel="0" collapsed="false">
      <c r="A8" s="0" t="s">
        <v>135</v>
      </c>
      <c r="B8" s="0" t="n">
        <f aca="false">COUNTIF('Product Backlog'!B:B,"Gestion Matériel")</f>
        <v>7</v>
      </c>
    </row>
    <row r="9" customFormat="false" ht="15" hidden="false" customHeight="false" outlineLevel="0" collapsed="false">
      <c r="A9" s="0" t="s">
        <v>136</v>
      </c>
      <c r="B9" s="0" t="n">
        <f aca="false">COUNTIF('Product Backlog'!B:B,"Gestion Services")</f>
        <v>4</v>
      </c>
    </row>
    <row r="10" customFormat="false" ht="15" hidden="false" customHeight="false" outlineLevel="0" collapsed="false">
      <c r="A10" s="0" t="s">
        <v>137</v>
      </c>
      <c r="B10" s="0" t="n">
        <f aca="false">COUNTIF('Product Backlog'!B:B,"Gestion Réservation")</f>
        <v>5</v>
      </c>
    </row>
    <row r="11" customFormat="false" ht="15" hidden="false" customHeight="false" outlineLevel="0" collapsed="false">
      <c r="A11" s="0" t="s">
        <v>138</v>
      </c>
      <c r="B11" s="0" t="n">
        <f aca="false">COUNTIF('Product Backlog'!B:B,"Gestion Avis")</f>
        <v>3</v>
      </c>
    </row>
    <row r="12" customFormat="false" ht="15" hidden="false" customHeight="false" outlineLevel="0" collapsed="false">
      <c r="A12" s="0" t="s">
        <v>139</v>
      </c>
      <c r="B12" s="0" t="n">
        <f aca="false">COUNTIF('Product Backlog'!B:B,"Assistance Intelligente")</f>
        <v>5</v>
      </c>
    </row>
    <row r="14" customFormat="false" ht="15" hidden="false" customHeight="false" outlineLevel="0" collapsed="false">
      <c r="A14" s="0" t="s">
        <v>140</v>
      </c>
    </row>
    <row r="15" customFormat="false" ht="15" hidden="false" customHeight="false" outlineLevel="0" collapsed="false">
      <c r="A15" s="0" t="s">
        <v>141</v>
      </c>
      <c r="B15" s="0" t="n">
        <f aca="false">COUNTIF('Product Backlog'!E:E,"Critical")</f>
        <v>2</v>
      </c>
    </row>
    <row r="16" customFormat="false" ht="15" hidden="false" customHeight="false" outlineLevel="0" collapsed="false">
      <c r="A16" s="0" t="s">
        <v>142</v>
      </c>
      <c r="B16" s="0" t="n">
        <f aca="false">COUNTIF('Product Backlog'!E:E,"High")</f>
        <v>14</v>
      </c>
    </row>
    <row r="17" customFormat="false" ht="15" hidden="false" customHeight="false" outlineLevel="0" collapsed="false">
      <c r="A17" s="0" t="s">
        <v>143</v>
      </c>
      <c r="B17" s="0" t="n">
        <f aca="false">COUNTIF('Product Backlog'!E:E,"Medium")</f>
        <v>14</v>
      </c>
    </row>
    <row r="18" customFormat="false" ht="15" hidden="false" customHeight="false" outlineLevel="0" collapsed="false">
      <c r="A18" s="0" t="s">
        <v>144</v>
      </c>
      <c r="B18" s="0" t="n">
        <f aca="false">COUNTIF('Product Backlog'!E:E,"Low")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2026-02-04T00:43:18Z</dcterms:created>
  <dc:creator>openpyxl</dc:creator>
  <dc:description/>
  <dc:language>en-US</dc:language>
  <cp:lastModifiedBy/>
  <dcterms:modified xsi:type="dcterms:W3CDTF">2026-02-04T00:43:18Z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